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cann\Downloads\"/>
    </mc:Choice>
  </mc:AlternateContent>
  <xr:revisionPtr revIDLastSave="0" documentId="13_ncr:1_{D87643AF-282D-4F53-8232-2AAC045A11C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65" i="1" l="1"/>
  <c r="C64" i="1"/>
  <c r="F65" i="1"/>
  <c r="F64" i="1"/>
  <c r="I65" i="1"/>
  <c r="I64" i="1"/>
  <c r="L65" i="1"/>
  <c r="L64" i="1"/>
  <c r="O65" i="1"/>
  <c r="O64" i="1"/>
  <c r="R32" i="1"/>
  <c r="R31" i="1"/>
  <c r="O32" i="1"/>
  <c r="O31" i="1"/>
  <c r="L32" i="1"/>
  <c r="L31" i="1"/>
  <c r="I32" i="1"/>
  <c r="I31" i="1"/>
  <c r="F32" i="1"/>
  <c r="F31" i="1"/>
  <c r="C32" i="1"/>
  <c r="C31" i="1"/>
  <c r="O66" i="1" l="1"/>
  <c r="L66" i="1"/>
  <c r="I66" i="1"/>
  <c r="F66" i="1"/>
  <c r="C66" i="1"/>
  <c r="R33" i="1"/>
  <c r="O33" i="1"/>
  <c r="L33" i="1"/>
  <c r="I33" i="1"/>
  <c r="F33" i="1"/>
  <c r="C33" i="1"/>
</calcChain>
</file>

<file path=xl/sharedStrings.xml><?xml version="1.0" encoding="utf-8"?>
<sst xmlns="http://schemas.openxmlformats.org/spreadsheetml/2006/main" count="336" uniqueCount="141">
  <si>
    <t>Sean Cannon</t>
  </si>
  <si>
    <t>Rodney Elliott</t>
  </si>
  <si>
    <t>Aaron Leckinger</t>
  </si>
  <si>
    <t>513-473-4853</t>
  </si>
  <si>
    <t>513-317-1093</t>
  </si>
  <si>
    <t>513-607-0730</t>
  </si>
  <si>
    <t>818-482-9248</t>
  </si>
  <si>
    <t>513-213-4054</t>
  </si>
  <si>
    <t>Pos</t>
  </si>
  <si>
    <t>Name</t>
  </si>
  <si>
    <t>Con</t>
  </si>
  <si>
    <t>$$$</t>
  </si>
  <si>
    <t>C</t>
  </si>
  <si>
    <t>Y2</t>
  </si>
  <si>
    <t>1B</t>
  </si>
  <si>
    <t>F</t>
  </si>
  <si>
    <t>2B</t>
  </si>
  <si>
    <t>SS</t>
  </si>
  <si>
    <t>3B</t>
  </si>
  <si>
    <t>CM</t>
  </si>
  <si>
    <t>MI</t>
  </si>
  <si>
    <t>OF</t>
  </si>
  <si>
    <t>UT</t>
  </si>
  <si>
    <t>P</t>
  </si>
  <si>
    <t>X2</t>
  </si>
  <si>
    <t>CASH REMAINING:</t>
  </si>
  <si>
    <t>PLAYERS NEEDED:</t>
  </si>
  <si>
    <t>MAX BID:</t>
  </si>
  <si>
    <t>Bill Allen</t>
  </si>
  <si>
    <t>513-550-4826</t>
  </si>
  <si>
    <t>513-917-2187</t>
  </si>
  <si>
    <t>513-675-3428</t>
  </si>
  <si>
    <t>David Miller</t>
  </si>
  <si>
    <t>Chris Smith</t>
  </si>
  <si>
    <t>513-462-4340</t>
  </si>
  <si>
    <t>Mark Finley</t>
  </si>
  <si>
    <t>George Zahn</t>
  </si>
  <si>
    <t>Phil Huey</t>
  </si>
  <si>
    <t>Micah Owens</t>
  </si>
  <si>
    <t>513-315-9032</t>
  </si>
  <si>
    <t>O/C</t>
  </si>
  <si>
    <t>X3</t>
  </si>
  <si>
    <t>Logan Webb</t>
  </si>
  <si>
    <t>Austin Riley</t>
  </si>
  <si>
    <t>David Bednar</t>
  </si>
  <si>
    <t>Jonathan India</t>
  </si>
  <si>
    <t>Miles Mikolas</t>
  </si>
  <si>
    <t>Elias Diaz</t>
  </si>
  <si>
    <t>Willson Contreras</t>
  </si>
  <si>
    <t>William Contreras</t>
  </si>
  <si>
    <t>Freddie Freeman</t>
  </si>
  <si>
    <t>Christian Walker</t>
  </si>
  <si>
    <t>Nolan Gorman</t>
  </si>
  <si>
    <t>Oneil Cruz</t>
  </si>
  <si>
    <t>Garrett Cooper</t>
  </si>
  <si>
    <t>CJ Abrams</t>
  </si>
  <si>
    <t>Kyle Schwarber</t>
  </si>
  <si>
    <t>Nico Hoerner</t>
  </si>
  <si>
    <t>Aaron Nola</t>
  </si>
  <si>
    <t>Blake Snell</t>
  </si>
  <si>
    <t>Hunter Greene</t>
  </si>
  <si>
    <t>Devin Williams</t>
  </si>
  <si>
    <t>Ryan Helsley</t>
  </si>
  <si>
    <t>Zac Gallen</t>
  </si>
  <si>
    <t>Alex Cobb</t>
  </si>
  <si>
    <t>Jesus Luzardo</t>
  </si>
  <si>
    <t>Mitch Keller</t>
  </si>
  <si>
    <t>Seranthony Dominguez</t>
  </si>
  <si>
    <t>Brusdar Graterol</t>
  </si>
  <si>
    <t>Jim Reynolds</t>
  </si>
  <si>
    <t>615-804-0499</t>
  </si>
  <si>
    <t>Will Smith</t>
  </si>
  <si>
    <t>Jazz Chisholm</t>
  </si>
  <si>
    <t>Thairo Estrada</t>
  </si>
  <si>
    <t>Bryson Stott</t>
  </si>
  <si>
    <t>Seiya Suzuki</t>
  </si>
  <si>
    <t>James Outman</t>
  </si>
  <si>
    <t>Corbin Carroll</t>
  </si>
  <si>
    <t>Garrett Mitchell</t>
  </si>
  <si>
    <t>Kyle Finnegan</t>
  </si>
  <si>
    <t>Camilo Doval</t>
  </si>
  <si>
    <t>Alexis Diaz</t>
  </si>
  <si>
    <t>Spencer Strider</t>
  </si>
  <si>
    <t>Justin Steele</t>
  </si>
  <si>
    <t>Nick Martinez</t>
  </si>
  <si>
    <t>Sw</t>
  </si>
  <si>
    <t>Bryce Harper</t>
  </si>
  <si>
    <t>Jeimer Candelario</t>
  </si>
  <si>
    <t>Elly De La Cruz</t>
  </si>
  <si>
    <t>Brenton Doyle</t>
  </si>
  <si>
    <t>Bryan De La Cruz</t>
  </si>
  <si>
    <t>Jose Alvarado</t>
  </si>
  <si>
    <t>Nick Castellanos</t>
  </si>
  <si>
    <t>Lane Thomas</t>
  </si>
  <si>
    <t>Braxton Garrett</t>
  </si>
  <si>
    <t>Robert Suarez</t>
  </si>
  <si>
    <t>Giovanny Gallegos</t>
  </si>
  <si>
    <t>Ozzie Albies</t>
  </si>
  <si>
    <t>Jake Burger</t>
  </si>
  <si>
    <t>Jorge Soler</t>
  </si>
  <si>
    <t>Marcell Ozuna</t>
  </si>
  <si>
    <t>Paul Sewald</t>
  </si>
  <si>
    <t>Hunter Harvey</t>
  </si>
  <si>
    <t>Matt Olson</t>
  </si>
  <si>
    <t>Nolan Jones</t>
  </si>
  <si>
    <t>Edwin Diaz</t>
  </si>
  <si>
    <t>Walker Buehler</t>
  </si>
  <si>
    <t>Keibert Ruiz</t>
  </si>
  <si>
    <t>Luis Arraez</t>
  </si>
  <si>
    <t>Cristopher Sanchez</t>
  </si>
  <si>
    <t>Adbert Alzolay</t>
  </si>
  <si>
    <t>Ha-Seong Kim</t>
  </si>
  <si>
    <t>Noelvi Marte</t>
  </si>
  <si>
    <t>Cody Bellinger</t>
  </si>
  <si>
    <t>Taijuan Walker</t>
  </si>
  <si>
    <t>Taylor Rogers</t>
  </si>
  <si>
    <t>Gavin Lux</t>
  </si>
  <si>
    <t>Spencer Steer</t>
  </si>
  <si>
    <t>Christian Encarnacion-Strand</t>
  </si>
  <si>
    <t>Brandon Pfaadt</t>
  </si>
  <si>
    <t>Ranger Suarez</t>
  </si>
  <si>
    <t>Kyle Hendricks</t>
  </si>
  <si>
    <t>Jack Suwinski</t>
  </si>
  <si>
    <t>Gabriel Moreno</t>
  </si>
  <si>
    <t>Rhys Hoskins</t>
  </si>
  <si>
    <t>Max Muncy</t>
  </si>
  <si>
    <t>Christian Yelich</t>
  </si>
  <si>
    <t>Henry Davis</t>
  </si>
  <si>
    <t>Sal Frelick</t>
  </si>
  <si>
    <t>Mookie Betts</t>
  </si>
  <si>
    <t>JD Martinez</t>
  </si>
  <si>
    <t>Will Benson</t>
  </si>
  <si>
    <t>Max Fried</t>
  </si>
  <si>
    <t>Matt Strahm</t>
  </si>
  <si>
    <t>Josh Bell</t>
  </si>
  <si>
    <t>Ketel Marte</t>
  </si>
  <si>
    <t>Ezequiel Tovar</t>
  </si>
  <si>
    <t>Wilmer Flores</t>
  </si>
  <si>
    <t>Brett Baty</t>
  </si>
  <si>
    <t>LaMonte Wade</t>
  </si>
  <si>
    <t>Masyn Winn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</si>
</sst>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002060"/>
      <name val="Calibri"/>
      <family val="2"/>
      <scheme val="minor"/>
    </font>
    <font>
      <sz val="10"/>
      <color rgb="FF002060"/>
      <name val="Calibri"/>
      <family val="2"/>
      <scheme val="minor"/>
    </font>
    <font>
      <sz val="11"/>
      <color theme="3" tint="-0.499984740745262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2060"/>
      </left>
      <right style="thin">
        <color rgb="FF002060"/>
      </right>
      <top style="thin">
        <color rgb="FF002060"/>
      </top>
      <bottom style="thin">
        <color rgb="FF00206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1" xfId="0" applyFont="1" applyBorder="1"/>
    <xf numFmtId="0" fontId="3" fillId="0" borderId="0" xfId="0" applyFont="1"/>
    <xf numFmtId="0" fontId="4" fillId="0" borderId="1" xfId="0" applyFont="1" applyBorder="1"/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/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1">
    <dxf>
      <font>
        <b val="0"/>
        <i val="0"/>
        <strike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66"/>
  <sheetViews>
    <sheetView tabSelected="1" topLeftCell="A25" workbookViewId="0">
      <selection activeCell="N34" sqref="N34:P34"/>
    </sheetView>
  </sheetViews>
  <sheetFormatPr defaultColWidth="9.109375" defaultRowHeight="14.4" x14ac:dyDescent="0.3"/>
  <cols>
    <col min="1" max="1" width="3.6640625" style="1" customWidth="1"/>
    <col min="2" max="2" width="23.6640625" style="1" customWidth="1"/>
    <col min="3" max="4" width="3.6640625" style="1" customWidth="1"/>
    <col min="5" max="5" width="23.6640625" style="1" customWidth="1"/>
    <col min="6" max="7" width="3.6640625" style="1" customWidth="1"/>
    <col min="8" max="8" width="23.6640625" style="1" customWidth="1"/>
    <col min="9" max="10" width="3.6640625" style="1" customWidth="1"/>
    <col min="11" max="11" width="23.6640625" style="1" customWidth="1"/>
    <col min="12" max="13" width="3.6640625" style="1" customWidth="1"/>
    <col min="14" max="14" width="23.6640625" style="1" customWidth="1"/>
    <col min="15" max="16" width="3.6640625" style="1" customWidth="1"/>
    <col min="17" max="17" width="23.6640625" style="1" customWidth="1"/>
    <col min="18" max="19" width="3.6640625" style="1" customWidth="1"/>
    <col min="20" max="16384" width="9.109375" style="1"/>
  </cols>
  <sheetData>
    <row r="1" spans="1:21" ht="13.65" customHeight="1" x14ac:dyDescent="0.3">
      <c r="A1" s="2"/>
      <c r="B1" s="8" t="s">
        <v>0</v>
      </c>
      <c r="C1" s="8"/>
      <c r="D1" s="8"/>
      <c r="E1" s="8" t="s">
        <v>32</v>
      </c>
      <c r="F1" s="8"/>
      <c r="G1" s="8"/>
      <c r="H1" s="8" t="s">
        <v>33</v>
      </c>
      <c r="I1" s="8"/>
      <c r="J1" s="8"/>
      <c r="K1" s="8" t="s">
        <v>1</v>
      </c>
      <c r="L1" s="8"/>
      <c r="M1" s="8"/>
      <c r="N1" s="8" t="s">
        <v>2</v>
      </c>
      <c r="O1" s="8"/>
      <c r="P1" s="8"/>
      <c r="Q1" s="8" t="s">
        <v>35</v>
      </c>
      <c r="R1" s="8"/>
      <c r="S1" s="8"/>
      <c r="T1" s="3"/>
      <c r="U1" s="3"/>
    </row>
    <row r="2" spans="1:21" ht="13.65" customHeight="1" x14ac:dyDescent="0.3">
      <c r="A2" s="2"/>
      <c r="B2" s="8" t="s">
        <v>3</v>
      </c>
      <c r="C2" s="8"/>
      <c r="D2" s="8"/>
      <c r="E2" s="8" t="s">
        <v>4</v>
      </c>
      <c r="F2" s="8"/>
      <c r="G2" s="8"/>
      <c r="H2" s="8" t="s">
        <v>34</v>
      </c>
      <c r="I2" s="8"/>
      <c r="J2" s="8"/>
      <c r="K2" s="8" t="s">
        <v>5</v>
      </c>
      <c r="L2" s="8"/>
      <c r="M2" s="8"/>
      <c r="N2" s="8" t="s">
        <v>6</v>
      </c>
      <c r="O2" s="8"/>
      <c r="P2" s="8"/>
      <c r="Q2" s="8" t="s">
        <v>7</v>
      </c>
      <c r="R2" s="8"/>
      <c r="S2" s="8"/>
      <c r="T2" s="3"/>
      <c r="U2" s="3"/>
    </row>
    <row r="3" spans="1:21" ht="13.65" customHeight="1" x14ac:dyDescent="0.3">
      <c r="A3" s="2" t="s">
        <v>8</v>
      </c>
      <c r="B3" s="2" t="s">
        <v>9</v>
      </c>
      <c r="C3" s="2" t="s">
        <v>10</v>
      </c>
      <c r="D3" s="2" t="s">
        <v>11</v>
      </c>
      <c r="E3" s="2" t="s">
        <v>9</v>
      </c>
      <c r="F3" s="2" t="s">
        <v>10</v>
      </c>
      <c r="G3" s="2" t="s">
        <v>11</v>
      </c>
      <c r="H3" s="2" t="s">
        <v>9</v>
      </c>
      <c r="I3" s="2" t="s">
        <v>10</v>
      </c>
      <c r="J3" s="2" t="s">
        <v>11</v>
      </c>
      <c r="K3" s="2" t="s">
        <v>9</v>
      </c>
      <c r="L3" s="2" t="s">
        <v>10</v>
      </c>
      <c r="M3" s="2" t="s">
        <v>11</v>
      </c>
      <c r="N3" s="2" t="s">
        <v>9</v>
      </c>
      <c r="O3" s="2" t="s">
        <v>10</v>
      </c>
      <c r="P3" s="2" t="s">
        <v>11</v>
      </c>
      <c r="Q3" s="2" t="s">
        <v>9</v>
      </c>
      <c r="R3" s="2" t="s">
        <v>10</v>
      </c>
      <c r="S3" s="2" t="s">
        <v>11</v>
      </c>
    </row>
    <row r="4" spans="1:21" ht="13.65" customHeight="1" x14ac:dyDescent="0.3">
      <c r="A4" s="2" t="s">
        <v>12</v>
      </c>
      <c r="B4" s="2"/>
      <c r="C4" s="2"/>
      <c r="D4" s="2"/>
      <c r="E4" s="2"/>
      <c r="F4" s="2"/>
      <c r="G4" s="2"/>
      <c r="H4" s="2" t="s">
        <v>48</v>
      </c>
      <c r="I4" s="2" t="s">
        <v>15</v>
      </c>
      <c r="J4" s="2">
        <v>11</v>
      </c>
      <c r="K4" s="2"/>
      <c r="L4" s="2"/>
      <c r="M4" s="2"/>
      <c r="N4" s="2" t="s">
        <v>107</v>
      </c>
      <c r="O4" s="2" t="s">
        <v>13</v>
      </c>
      <c r="P4" s="2">
        <v>7</v>
      </c>
      <c r="Q4" s="2" t="s">
        <v>49</v>
      </c>
      <c r="R4" s="2" t="s">
        <v>15</v>
      </c>
      <c r="S4" s="2">
        <v>10</v>
      </c>
    </row>
    <row r="5" spans="1:21" ht="13.65" customHeight="1" x14ac:dyDescent="0.3">
      <c r="A5" s="2" t="s">
        <v>14</v>
      </c>
      <c r="B5" s="2" t="s">
        <v>86</v>
      </c>
      <c r="C5" s="2" t="s">
        <v>13</v>
      </c>
      <c r="D5" s="2">
        <v>30</v>
      </c>
      <c r="E5" s="2" t="s">
        <v>54</v>
      </c>
      <c r="F5" s="2" t="s">
        <v>15</v>
      </c>
      <c r="G5" s="2">
        <v>4</v>
      </c>
      <c r="H5" s="2"/>
      <c r="I5" s="2"/>
      <c r="J5" s="2"/>
      <c r="K5" s="2" t="s">
        <v>103</v>
      </c>
      <c r="L5" s="2" t="s">
        <v>13</v>
      </c>
      <c r="M5" s="2">
        <v>41</v>
      </c>
      <c r="N5" s="2"/>
      <c r="O5" s="2"/>
      <c r="P5" s="2"/>
      <c r="Q5" s="2"/>
      <c r="R5" s="2"/>
      <c r="S5" s="2"/>
    </row>
    <row r="6" spans="1:21" ht="13.65" customHeight="1" x14ac:dyDescent="0.3">
      <c r="A6" s="2" t="s">
        <v>16</v>
      </c>
      <c r="B6" s="2"/>
      <c r="C6" s="2"/>
      <c r="D6" s="2"/>
      <c r="E6" s="2" t="s">
        <v>52</v>
      </c>
      <c r="F6" s="2" t="s">
        <v>24</v>
      </c>
      <c r="G6" s="2">
        <v>13</v>
      </c>
      <c r="H6" s="2" t="s">
        <v>97</v>
      </c>
      <c r="I6" s="2" t="s">
        <v>13</v>
      </c>
      <c r="J6" s="2">
        <v>33</v>
      </c>
      <c r="K6" s="2" t="s">
        <v>57</v>
      </c>
      <c r="L6" s="2" t="s">
        <v>24</v>
      </c>
      <c r="M6" s="2">
        <v>7</v>
      </c>
      <c r="N6" s="2" t="s">
        <v>108</v>
      </c>
      <c r="O6" s="2" t="s">
        <v>13</v>
      </c>
      <c r="P6" s="2">
        <v>20</v>
      </c>
      <c r="Q6" s="2" t="s">
        <v>45</v>
      </c>
      <c r="R6" s="2" t="s">
        <v>15</v>
      </c>
      <c r="S6" s="2">
        <v>20</v>
      </c>
    </row>
    <row r="7" spans="1:21" ht="13.65" customHeight="1" x14ac:dyDescent="0.3">
      <c r="A7" s="2" t="s">
        <v>17</v>
      </c>
      <c r="B7" s="2" t="s">
        <v>55</v>
      </c>
      <c r="C7" s="2" t="s">
        <v>15</v>
      </c>
      <c r="D7" s="2">
        <v>14</v>
      </c>
      <c r="E7" s="2" t="s">
        <v>53</v>
      </c>
      <c r="F7" s="2" t="s">
        <v>24</v>
      </c>
      <c r="G7" s="2">
        <v>23</v>
      </c>
      <c r="H7" s="2"/>
      <c r="I7" s="2"/>
      <c r="J7" s="2"/>
      <c r="K7" s="2"/>
      <c r="L7" s="2"/>
      <c r="M7" s="2"/>
      <c r="N7" s="2"/>
      <c r="O7" s="2"/>
      <c r="P7" s="2"/>
      <c r="Q7" s="2" t="s">
        <v>111</v>
      </c>
      <c r="R7" s="2" t="s">
        <v>13</v>
      </c>
      <c r="S7" s="2">
        <v>9</v>
      </c>
    </row>
    <row r="8" spans="1:21" ht="13.65" customHeight="1" x14ac:dyDescent="0.3">
      <c r="A8" s="2" t="s">
        <v>18</v>
      </c>
      <c r="B8" s="2" t="s">
        <v>43</v>
      </c>
      <c r="C8" s="2" t="s">
        <v>24</v>
      </c>
      <c r="D8" s="2">
        <v>26</v>
      </c>
      <c r="E8" s="2"/>
      <c r="F8" s="2"/>
      <c r="G8" s="2"/>
      <c r="H8" s="2" t="s">
        <v>98</v>
      </c>
      <c r="I8" s="2" t="s">
        <v>13</v>
      </c>
      <c r="J8" s="2">
        <v>14</v>
      </c>
      <c r="K8" s="2"/>
      <c r="L8" s="2"/>
      <c r="M8" s="2"/>
      <c r="N8" s="2"/>
      <c r="O8" s="2"/>
      <c r="P8" s="2"/>
      <c r="Q8" s="4" t="s">
        <v>112</v>
      </c>
      <c r="R8" s="2" t="s">
        <v>13</v>
      </c>
      <c r="S8" s="2">
        <v>10</v>
      </c>
    </row>
    <row r="9" spans="1:21" ht="13.65" customHeight="1" x14ac:dyDescent="0.3">
      <c r="A9" s="2" t="s">
        <v>19</v>
      </c>
      <c r="B9" s="2" t="s">
        <v>87</v>
      </c>
      <c r="C9" s="2" t="s">
        <v>13</v>
      </c>
      <c r="D9" s="2">
        <v>2</v>
      </c>
      <c r="E9" s="2"/>
      <c r="F9" s="2"/>
      <c r="G9" s="2"/>
      <c r="H9" s="2"/>
      <c r="I9" s="2"/>
      <c r="J9" s="2"/>
      <c r="K9" s="2" t="s">
        <v>51</v>
      </c>
      <c r="L9" s="2" t="s">
        <v>15</v>
      </c>
      <c r="M9" s="2">
        <v>9</v>
      </c>
      <c r="N9" s="2"/>
      <c r="O9" s="2"/>
      <c r="P9" s="2"/>
      <c r="Q9" s="2"/>
      <c r="R9" s="2"/>
      <c r="S9" s="2"/>
    </row>
    <row r="10" spans="1:21" ht="13.65" customHeight="1" x14ac:dyDescent="0.3">
      <c r="A10" s="2" t="s">
        <v>20</v>
      </c>
      <c r="B10" s="2" t="s">
        <v>88</v>
      </c>
      <c r="C10" s="2" t="s">
        <v>13</v>
      </c>
      <c r="D10" s="2">
        <v>11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</row>
    <row r="11" spans="1:21" ht="13.65" customHeight="1" x14ac:dyDescent="0.3">
      <c r="A11" s="2" t="s">
        <v>21</v>
      </c>
      <c r="B11" s="2" t="s">
        <v>77</v>
      </c>
      <c r="C11" s="2" t="s">
        <v>41</v>
      </c>
      <c r="D11" s="2">
        <v>20</v>
      </c>
      <c r="E11" s="2" t="s">
        <v>92</v>
      </c>
      <c r="F11" s="2" t="s">
        <v>13</v>
      </c>
      <c r="G11" s="2">
        <v>22</v>
      </c>
      <c r="H11" s="2" t="s">
        <v>56</v>
      </c>
      <c r="I11" s="2" t="s">
        <v>15</v>
      </c>
      <c r="J11" s="2">
        <v>24</v>
      </c>
      <c r="K11" s="2" t="s">
        <v>72</v>
      </c>
      <c r="L11" s="2" t="s">
        <v>15</v>
      </c>
      <c r="M11" s="2">
        <v>20</v>
      </c>
      <c r="N11" s="2"/>
      <c r="O11" s="2"/>
      <c r="P11" s="2"/>
      <c r="Q11" s="2" t="s">
        <v>113</v>
      </c>
      <c r="R11" s="2" t="s">
        <v>13</v>
      </c>
      <c r="S11" s="2">
        <v>18</v>
      </c>
    </row>
    <row r="12" spans="1:21" ht="13.65" customHeight="1" x14ac:dyDescent="0.3">
      <c r="A12" s="2" t="s">
        <v>21</v>
      </c>
      <c r="B12" s="2" t="s">
        <v>89</v>
      </c>
      <c r="C12" s="2" t="s">
        <v>13</v>
      </c>
      <c r="D12" s="2">
        <v>10</v>
      </c>
      <c r="E12" s="2" t="s">
        <v>93</v>
      </c>
      <c r="F12" s="2" t="s">
        <v>13</v>
      </c>
      <c r="G12" s="2">
        <v>12</v>
      </c>
      <c r="H12" s="2" t="s">
        <v>99</v>
      </c>
      <c r="I12" s="2" t="s">
        <v>13</v>
      </c>
      <c r="J12" s="2">
        <v>19</v>
      </c>
      <c r="K12" s="2" t="s">
        <v>104</v>
      </c>
      <c r="L12" s="2" t="s">
        <v>13</v>
      </c>
      <c r="M12" s="2">
        <v>10</v>
      </c>
      <c r="N12" s="2"/>
      <c r="O12" s="2"/>
      <c r="P12" s="2"/>
      <c r="Q12" s="2"/>
      <c r="R12" s="2"/>
      <c r="S12" s="2"/>
    </row>
    <row r="13" spans="1:21" ht="13.65" customHeight="1" x14ac:dyDescent="0.3">
      <c r="A13" s="2" t="s">
        <v>21</v>
      </c>
      <c r="B13" s="2" t="s">
        <v>90</v>
      </c>
      <c r="C13" s="2" t="s">
        <v>13</v>
      </c>
      <c r="D13" s="2">
        <v>6</v>
      </c>
      <c r="E13" s="2"/>
      <c r="F13" s="2"/>
      <c r="G13" s="2"/>
      <c r="H13" s="2" t="s">
        <v>100</v>
      </c>
      <c r="I13" s="2" t="s">
        <v>13</v>
      </c>
      <c r="J13" s="2">
        <v>10</v>
      </c>
      <c r="K13" s="2"/>
      <c r="L13" s="2"/>
      <c r="M13" s="2"/>
      <c r="N13" s="2"/>
      <c r="O13" s="2"/>
      <c r="P13" s="2"/>
      <c r="Q13" s="2"/>
      <c r="R13" s="2"/>
      <c r="S13" s="2"/>
    </row>
    <row r="14" spans="1:21" ht="13.65" customHeight="1" x14ac:dyDescent="0.3">
      <c r="A14" s="2" t="s">
        <v>21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</row>
    <row r="15" spans="1:21" ht="13.65" customHeight="1" x14ac:dyDescent="0.3">
      <c r="A15" s="2" t="s">
        <v>40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</row>
    <row r="16" spans="1:21" ht="13.65" customHeight="1" x14ac:dyDescent="0.3">
      <c r="A16" s="2" t="s">
        <v>22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</row>
    <row r="17" spans="1:19" ht="13.65" customHeight="1" x14ac:dyDescent="0.3">
      <c r="A17" s="2" t="s">
        <v>85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</row>
    <row r="18" spans="1:19" ht="13.65" customHeight="1" x14ac:dyDescent="0.3">
      <c r="A18" s="2" t="s">
        <v>23</v>
      </c>
      <c r="B18" s="2" t="s">
        <v>58</v>
      </c>
      <c r="C18" s="2" t="s">
        <v>15</v>
      </c>
      <c r="D18" s="2">
        <v>23</v>
      </c>
      <c r="E18" s="2" t="s">
        <v>61</v>
      </c>
      <c r="F18" s="2" t="s">
        <v>24</v>
      </c>
      <c r="G18" s="2">
        <v>14</v>
      </c>
      <c r="H18" s="2" t="s">
        <v>101</v>
      </c>
      <c r="I18" s="2" t="s">
        <v>13</v>
      </c>
      <c r="J18" s="2">
        <v>24</v>
      </c>
      <c r="K18" s="2" t="s">
        <v>81</v>
      </c>
      <c r="L18" s="2" t="s">
        <v>24</v>
      </c>
      <c r="M18" s="2">
        <v>15</v>
      </c>
      <c r="N18" s="2" t="s">
        <v>60</v>
      </c>
      <c r="O18" s="2" t="s">
        <v>15</v>
      </c>
      <c r="P18" s="2">
        <v>14</v>
      </c>
      <c r="Q18" s="2" t="s">
        <v>64</v>
      </c>
      <c r="R18" s="2" t="s">
        <v>15</v>
      </c>
      <c r="S18" s="2">
        <v>11</v>
      </c>
    </row>
    <row r="19" spans="1:19" ht="13.65" customHeight="1" x14ac:dyDescent="0.3">
      <c r="A19" s="2" t="s">
        <v>23</v>
      </c>
      <c r="B19" s="2" t="s">
        <v>91</v>
      </c>
      <c r="C19" s="2" t="s">
        <v>13</v>
      </c>
      <c r="D19" s="2">
        <v>2</v>
      </c>
      <c r="E19" s="2" t="s">
        <v>65</v>
      </c>
      <c r="F19" s="2" t="s">
        <v>24</v>
      </c>
      <c r="G19" s="2">
        <v>12</v>
      </c>
      <c r="H19" s="2" t="s">
        <v>79</v>
      </c>
      <c r="I19" s="2" t="s">
        <v>15</v>
      </c>
      <c r="J19" s="2">
        <v>10</v>
      </c>
      <c r="K19" s="2" t="s">
        <v>105</v>
      </c>
      <c r="L19" s="2" t="s">
        <v>13</v>
      </c>
      <c r="M19" s="2">
        <v>14</v>
      </c>
      <c r="N19" s="2" t="s">
        <v>63</v>
      </c>
      <c r="O19" s="2" t="s">
        <v>15</v>
      </c>
      <c r="P19" s="2">
        <v>12</v>
      </c>
      <c r="Q19" s="2" t="s">
        <v>46</v>
      </c>
      <c r="R19" s="2" t="s">
        <v>15</v>
      </c>
      <c r="S19" s="2">
        <v>11</v>
      </c>
    </row>
    <row r="20" spans="1:19" ht="13.65" customHeight="1" x14ac:dyDescent="0.3">
      <c r="A20" s="2" t="s">
        <v>23</v>
      </c>
      <c r="B20" s="2"/>
      <c r="C20" s="2"/>
      <c r="D20" s="2"/>
      <c r="E20" s="2" t="s">
        <v>94</v>
      </c>
      <c r="F20" s="2" t="s">
        <v>13</v>
      </c>
      <c r="G20" s="2">
        <v>3</v>
      </c>
      <c r="H20" s="2" t="s">
        <v>66</v>
      </c>
      <c r="I20" s="2" t="s">
        <v>15</v>
      </c>
      <c r="J20" s="2">
        <v>4</v>
      </c>
      <c r="K20" s="2" t="s">
        <v>82</v>
      </c>
      <c r="L20" s="2" t="s">
        <v>41</v>
      </c>
      <c r="M20" s="2">
        <v>13</v>
      </c>
      <c r="N20" s="2" t="s">
        <v>109</v>
      </c>
      <c r="O20" s="2" t="s">
        <v>13</v>
      </c>
      <c r="P20" s="2">
        <v>11</v>
      </c>
      <c r="Q20" s="2" t="s">
        <v>114</v>
      </c>
      <c r="R20" s="2" t="s">
        <v>13</v>
      </c>
      <c r="S20" s="2">
        <v>5</v>
      </c>
    </row>
    <row r="21" spans="1:19" ht="13.65" customHeight="1" x14ac:dyDescent="0.3">
      <c r="A21" s="2" t="s">
        <v>23</v>
      </c>
      <c r="B21" s="2"/>
      <c r="C21" s="2"/>
      <c r="D21" s="2"/>
      <c r="E21" s="2" t="s">
        <v>96</v>
      </c>
      <c r="F21" s="2" t="s">
        <v>13</v>
      </c>
      <c r="G21" s="2">
        <v>2</v>
      </c>
      <c r="H21" s="2" t="s">
        <v>102</v>
      </c>
      <c r="I21" s="2" t="s">
        <v>13</v>
      </c>
      <c r="J21" s="2">
        <v>3</v>
      </c>
      <c r="K21" s="2" t="s">
        <v>42</v>
      </c>
      <c r="L21" s="2" t="s">
        <v>15</v>
      </c>
      <c r="M21" s="2">
        <v>11</v>
      </c>
      <c r="N21" s="2" t="s">
        <v>110</v>
      </c>
      <c r="O21" s="2" t="s">
        <v>13</v>
      </c>
      <c r="P21" s="2">
        <v>2</v>
      </c>
      <c r="Q21" s="2" t="s">
        <v>68</v>
      </c>
      <c r="R21" s="2" t="s">
        <v>15</v>
      </c>
      <c r="S21" s="2">
        <v>3</v>
      </c>
    </row>
    <row r="22" spans="1:19" ht="13.65" customHeight="1" x14ac:dyDescent="0.3">
      <c r="A22" s="2" t="s">
        <v>23</v>
      </c>
      <c r="B22" s="2"/>
      <c r="C22" s="2"/>
      <c r="D22" s="2"/>
      <c r="E22" s="2" t="s">
        <v>95</v>
      </c>
      <c r="F22" s="2" t="s">
        <v>13</v>
      </c>
      <c r="G22" s="2">
        <v>1</v>
      </c>
      <c r="H22" s="2"/>
      <c r="I22" s="2"/>
      <c r="J22" s="2"/>
      <c r="K22" s="2" t="s">
        <v>106</v>
      </c>
      <c r="L22" s="2" t="s">
        <v>13</v>
      </c>
      <c r="M22" s="2">
        <v>8</v>
      </c>
      <c r="N22" s="2"/>
      <c r="O22" s="2"/>
      <c r="P22" s="2"/>
      <c r="Q22" s="2" t="s">
        <v>115</v>
      </c>
      <c r="R22" s="2" t="s">
        <v>13</v>
      </c>
      <c r="S22" s="2">
        <v>2</v>
      </c>
    </row>
    <row r="23" spans="1:19" ht="13.65" customHeight="1" x14ac:dyDescent="0.3">
      <c r="A23" s="2" t="s">
        <v>23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</row>
    <row r="24" spans="1:19" ht="13.65" customHeight="1" x14ac:dyDescent="0.3">
      <c r="A24" s="2" t="s">
        <v>23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</row>
    <row r="25" spans="1:19" ht="13.65" customHeight="1" x14ac:dyDescent="0.3">
      <c r="A25" s="2" t="s">
        <v>23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</row>
    <row r="26" spans="1:19" ht="13.65" customHeight="1" x14ac:dyDescent="0.3">
      <c r="A26" s="2" t="s">
        <v>23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</row>
    <row r="27" spans="1:19" ht="13.65" customHeight="1" x14ac:dyDescent="0.3">
      <c r="A27" s="2" t="s">
        <v>23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</row>
    <row r="28" spans="1:19" ht="13.65" customHeight="1" x14ac:dyDescent="0.3">
      <c r="A28" s="2" t="s">
        <v>23</v>
      </c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</row>
    <row r="29" spans="1:19" ht="13.65" customHeight="1" x14ac:dyDescent="0.3">
      <c r="A29" s="2" t="s">
        <v>23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</row>
    <row r="30" spans="1:19" ht="13.65" customHeight="1" x14ac:dyDescent="0.3">
      <c r="A30" s="2" t="s">
        <v>23</v>
      </c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</row>
    <row r="31" spans="1:19" ht="13.65" customHeight="1" x14ac:dyDescent="0.3">
      <c r="A31" s="2"/>
      <c r="B31" s="5" t="s">
        <v>25</v>
      </c>
      <c r="C31" s="8">
        <f>300-SUM(D4:D30)</f>
        <v>156</v>
      </c>
      <c r="D31" s="8"/>
      <c r="E31" s="5" t="s">
        <v>25</v>
      </c>
      <c r="F31" s="8">
        <f>300-SUM(G4:G30)</f>
        <v>194</v>
      </c>
      <c r="G31" s="8"/>
      <c r="H31" s="5" t="s">
        <v>25</v>
      </c>
      <c r="I31" s="8">
        <f>300-SUM(J4:J30)</f>
        <v>148</v>
      </c>
      <c r="J31" s="8"/>
      <c r="K31" s="5" t="s">
        <v>25</v>
      </c>
      <c r="L31" s="8">
        <f>300-SUM(M4:M30)</f>
        <v>152</v>
      </c>
      <c r="M31" s="8"/>
      <c r="N31" s="5" t="s">
        <v>25</v>
      </c>
      <c r="O31" s="8">
        <f>300-SUM(P4:P30)</f>
        <v>234</v>
      </c>
      <c r="P31" s="8"/>
      <c r="Q31" s="5" t="s">
        <v>25</v>
      </c>
      <c r="R31" s="8">
        <f>300-SUM(S4:S30)</f>
        <v>201</v>
      </c>
      <c r="S31" s="8"/>
    </row>
    <row r="32" spans="1:19" ht="13.65" customHeight="1" x14ac:dyDescent="0.3">
      <c r="A32" s="2"/>
      <c r="B32" s="5" t="s">
        <v>26</v>
      </c>
      <c r="C32" s="8">
        <f>27-COUNT(D4:D30)</f>
        <v>17</v>
      </c>
      <c r="D32" s="8"/>
      <c r="E32" s="5" t="s">
        <v>26</v>
      </c>
      <c r="F32" s="8">
        <f>27-COUNT(G4:G30)</f>
        <v>17</v>
      </c>
      <c r="G32" s="8"/>
      <c r="H32" s="5" t="s">
        <v>26</v>
      </c>
      <c r="I32" s="8">
        <f>27-COUNT(J4:J30)</f>
        <v>17</v>
      </c>
      <c r="J32" s="8"/>
      <c r="K32" s="5" t="s">
        <v>26</v>
      </c>
      <c r="L32" s="8">
        <f>27-COUNT(M4:M30)</f>
        <v>17</v>
      </c>
      <c r="M32" s="8"/>
      <c r="N32" s="5" t="s">
        <v>26</v>
      </c>
      <c r="O32" s="8">
        <f>27-COUNT(P4:P30)</f>
        <v>21</v>
      </c>
      <c r="P32" s="8"/>
      <c r="Q32" s="5" t="s">
        <v>26</v>
      </c>
      <c r="R32" s="8">
        <f>27-COUNT(S4:S30)</f>
        <v>17</v>
      </c>
      <c r="S32" s="8"/>
    </row>
    <row r="33" spans="1:19" ht="13.65" customHeight="1" x14ac:dyDescent="0.3">
      <c r="A33" s="2"/>
      <c r="B33" s="5" t="s">
        <v>27</v>
      </c>
      <c r="C33" s="8">
        <f>C31-C32+1</f>
        <v>140</v>
      </c>
      <c r="D33" s="8"/>
      <c r="E33" s="5" t="s">
        <v>27</v>
      </c>
      <c r="F33" s="8">
        <f>F31-F32+1</f>
        <v>178</v>
      </c>
      <c r="G33" s="8"/>
      <c r="H33" s="5" t="s">
        <v>27</v>
      </c>
      <c r="I33" s="8">
        <f>I31-I32+1</f>
        <v>132</v>
      </c>
      <c r="J33" s="8"/>
      <c r="K33" s="5" t="s">
        <v>27</v>
      </c>
      <c r="L33" s="8">
        <f>L31-L32+1</f>
        <v>136</v>
      </c>
      <c r="M33" s="8"/>
      <c r="N33" s="5" t="s">
        <v>27</v>
      </c>
      <c r="O33" s="8">
        <f>O31-O32+1</f>
        <v>214</v>
      </c>
      <c r="P33" s="8"/>
      <c r="Q33" s="5" t="s">
        <v>27</v>
      </c>
      <c r="R33" s="8">
        <f>R31-R32+1</f>
        <v>185</v>
      </c>
      <c r="S33" s="8"/>
    </row>
    <row r="34" spans="1:19" ht="13.65" customHeight="1" x14ac:dyDescent="0.3">
      <c r="A34" s="2"/>
      <c r="B34" s="8" t="s">
        <v>69</v>
      </c>
      <c r="C34" s="8"/>
      <c r="D34" s="8"/>
      <c r="E34" s="8" t="s">
        <v>28</v>
      </c>
      <c r="F34" s="8"/>
      <c r="G34" s="8"/>
      <c r="H34" s="8" t="s">
        <v>38</v>
      </c>
      <c r="I34" s="8"/>
      <c r="J34" s="8"/>
      <c r="K34" s="8" t="s">
        <v>37</v>
      </c>
      <c r="L34" s="8"/>
      <c r="M34" s="8"/>
      <c r="N34" s="8" t="s">
        <v>36</v>
      </c>
      <c r="O34" s="8"/>
      <c r="P34" s="8"/>
      <c r="Q34" s="9"/>
      <c r="R34" s="9"/>
      <c r="S34" s="9"/>
    </row>
    <row r="35" spans="1:19" ht="13.65" customHeight="1" x14ac:dyDescent="0.3">
      <c r="A35" s="2"/>
      <c r="B35" s="8" t="s">
        <v>70</v>
      </c>
      <c r="C35" s="8"/>
      <c r="D35" s="8"/>
      <c r="E35" s="8" t="s">
        <v>29</v>
      </c>
      <c r="F35" s="8"/>
      <c r="G35" s="8"/>
      <c r="H35" s="8" t="s">
        <v>39</v>
      </c>
      <c r="I35" s="8"/>
      <c r="J35" s="8"/>
      <c r="K35" s="8" t="s">
        <v>30</v>
      </c>
      <c r="L35" s="8"/>
      <c r="M35" s="8"/>
      <c r="N35" s="8" t="s">
        <v>31</v>
      </c>
      <c r="O35" s="8"/>
      <c r="P35" s="8"/>
      <c r="Q35" s="9"/>
      <c r="R35" s="9"/>
      <c r="S35" s="9"/>
    </row>
    <row r="36" spans="1:19" ht="13.65" customHeight="1" x14ac:dyDescent="0.3">
      <c r="A36" s="2" t="s">
        <v>8</v>
      </c>
      <c r="B36" s="2" t="s">
        <v>9</v>
      </c>
      <c r="C36" s="2" t="s">
        <v>10</v>
      </c>
      <c r="D36" s="2" t="s">
        <v>11</v>
      </c>
      <c r="E36" s="2" t="s">
        <v>9</v>
      </c>
      <c r="F36" s="2" t="s">
        <v>10</v>
      </c>
      <c r="G36" s="2" t="s">
        <v>11</v>
      </c>
      <c r="H36" s="2" t="s">
        <v>9</v>
      </c>
      <c r="I36" s="2" t="s">
        <v>10</v>
      </c>
      <c r="J36" s="2" t="s">
        <v>11</v>
      </c>
      <c r="K36" s="2" t="s">
        <v>9</v>
      </c>
      <c r="L36" s="2" t="s">
        <v>10</v>
      </c>
      <c r="M36" s="2" t="s">
        <v>11</v>
      </c>
      <c r="N36" s="2" t="s">
        <v>9</v>
      </c>
      <c r="O36" s="2" t="s">
        <v>10</v>
      </c>
      <c r="P36" s="2" t="s">
        <v>11</v>
      </c>
      <c r="Q36" s="7"/>
      <c r="R36" s="7"/>
      <c r="S36" s="7"/>
    </row>
    <row r="37" spans="1:19" ht="13.65" customHeight="1" x14ac:dyDescent="0.3">
      <c r="A37" s="2" t="s">
        <v>12</v>
      </c>
      <c r="B37" s="2" t="s">
        <v>47</v>
      </c>
      <c r="C37" s="2" t="s">
        <v>15</v>
      </c>
      <c r="D37" s="2">
        <v>2</v>
      </c>
      <c r="E37" s="2"/>
      <c r="F37" s="2"/>
      <c r="G37" s="2"/>
      <c r="H37" s="2" t="s">
        <v>123</v>
      </c>
      <c r="I37" s="2" t="s">
        <v>13</v>
      </c>
      <c r="J37" s="2">
        <v>15</v>
      </c>
      <c r="K37" s="2"/>
      <c r="L37" s="2"/>
      <c r="M37" s="2"/>
      <c r="N37" s="2" t="s">
        <v>71</v>
      </c>
      <c r="O37" s="2" t="s">
        <v>15</v>
      </c>
      <c r="P37" s="2">
        <v>20</v>
      </c>
      <c r="Q37" s="7"/>
      <c r="R37" s="7"/>
      <c r="S37" s="7"/>
    </row>
    <row r="38" spans="1:19" ht="13.65" customHeight="1" x14ac:dyDescent="0.3">
      <c r="A38" s="2" t="s">
        <v>14</v>
      </c>
      <c r="B38" s="2" t="s">
        <v>50</v>
      </c>
      <c r="C38" s="2" t="s">
        <v>15</v>
      </c>
      <c r="D38" s="2">
        <v>44</v>
      </c>
      <c r="E38" s="2"/>
      <c r="F38" s="2"/>
      <c r="G38" s="2"/>
      <c r="H38" s="2" t="s">
        <v>124</v>
      </c>
      <c r="I38" s="2" t="s">
        <v>13</v>
      </c>
      <c r="J38" s="2">
        <v>14</v>
      </c>
      <c r="K38" s="2"/>
      <c r="L38" s="2"/>
      <c r="M38" s="2"/>
      <c r="N38" s="2" t="s">
        <v>134</v>
      </c>
      <c r="O38" s="2" t="s">
        <v>13</v>
      </c>
      <c r="P38" s="2">
        <v>10</v>
      </c>
      <c r="Q38" s="7"/>
      <c r="R38" s="7"/>
      <c r="S38" s="7"/>
    </row>
    <row r="39" spans="1:19" ht="13.65" customHeight="1" x14ac:dyDescent="0.3">
      <c r="A39" s="2" t="s">
        <v>16</v>
      </c>
      <c r="B39" s="2" t="s">
        <v>116</v>
      </c>
      <c r="C39" s="2" t="s">
        <v>13</v>
      </c>
      <c r="D39" s="2">
        <v>1</v>
      </c>
      <c r="E39" s="2" t="s">
        <v>73</v>
      </c>
      <c r="F39" s="2" t="s">
        <v>15</v>
      </c>
      <c r="G39" s="2">
        <v>1</v>
      </c>
      <c r="H39" s="2" t="s">
        <v>74</v>
      </c>
      <c r="I39" s="2" t="s">
        <v>24</v>
      </c>
      <c r="J39" s="2">
        <v>17</v>
      </c>
      <c r="K39" s="2" t="s">
        <v>129</v>
      </c>
      <c r="L39" s="2" t="s">
        <v>13</v>
      </c>
      <c r="M39" s="2">
        <v>48</v>
      </c>
      <c r="N39" s="2" t="s">
        <v>135</v>
      </c>
      <c r="O39" s="2" t="s">
        <v>13</v>
      </c>
      <c r="P39" s="2">
        <v>18</v>
      </c>
      <c r="Q39" s="7"/>
      <c r="R39" s="7"/>
      <c r="S39" s="7"/>
    </row>
    <row r="40" spans="1:19" ht="13.65" customHeight="1" x14ac:dyDescent="0.3">
      <c r="A40" s="2" t="s">
        <v>17</v>
      </c>
      <c r="B40" s="2"/>
      <c r="C40" s="2"/>
      <c r="D40" s="2"/>
      <c r="E40" s="2"/>
      <c r="F40" s="2"/>
      <c r="G40" s="2"/>
      <c r="H40" s="2" t="s">
        <v>140</v>
      </c>
      <c r="I40" s="2" t="s">
        <v>13</v>
      </c>
      <c r="J40" s="2">
        <v>10</v>
      </c>
      <c r="K40" s="2"/>
      <c r="L40" s="2"/>
      <c r="M40" s="2"/>
      <c r="N40" s="2" t="s">
        <v>136</v>
      </c>
      <c r="O40" s="2" t="s">
        <v>13</v>
      </c>
      <c r="P40" s="2">
        <v>21</v>
      </c>
      <c r="Q40" s="7"/>
      <c r="R40" s="7"/>
      <c r="S40" s="7"/>
    </row>
    <row r="41" spans="1:19" ht="13.65" customHeight="1" x14ac:dyDescent="0.3">
      <c r="A41" s="2" t="s">
        <v>18</v>
      </c>
      <c r="B41" s="2" t="s">
        <v>117</v>
      </c>
      <c r="C41" s="2" t="s">
        <v>13</v>
      </c>
      <c r="D41" s="2">
        <v>13</v>
      </c>
      <c r="E41" s="2"/>
      <c r="F41" s="2"/>
      <c r="G41" s="2"/>
      <c r="H41" s="2" t="s">
        <v>125</v>
      </c>
      <c r="I41" s="2" t="s">
        <v>13</v>
      </c>
      <c r="J41" s="2">
        <v>21</v>
      </c>
      <c r="K41" s="2"/>
      <c r="L41" s="2"/>
      <c r="M41" s="2"/>
      <c r="N41" s="2" t="s">
        <v>138</v>
      </c>
      <c r="O41" s="2" t="s">
        <v>13</v>
      </c>
      <c r="P41" s="2">
        <v>10</v>
      </c>
      <c r="Q41" s="7"/>
      <c r="R41" s="7"/>
      <c r="S41" s="7"/>
    </row>
    <row r="42" spans="1:19" ht="13.65" customHeight="1" x14ac:dyDescent="0.3">
      <c r="A42" s="2" t="s">
        <v>19</v>
      </c>
      <c r="B42" s="2" t="s">
        <v>118</v>
      </c>
      <c r="C42" s="2" t="s">
        <v>13</v>
      </c>
      <c r="D42" s="2">
        <v>10</v>
      </c>
      <c r="E42" s="2"/>
      <c r="F42" s="2"/>
      <c r="G42" s="2"/>
      <c r="H42" s="2"/>
      <c r="I42" s="2"/>
      <c r="J42" s="2"/>
      <c r="K42" s="2"/>
      <c r="L42" s="2"/>
      <c r="M42" s="2"/>
      <c r="N42" s="2" t="s">
        <v>137</v>
      </c>
      <c r="O42" s="2" t="s">
        <v>13</v>
      </c>
      <c r="P42" s="2">
        <v>5</v>
      </c>
      <c r="Q42" s="7"/>
      <c r="R42" s="7"/>
      <c r="S42" s="7"/>
    </row>
    <row r="43" spans="1:19" ht="13.65" customHeight="1" x14ac:dyDescent="0.3">
      <c r="A43" s="2" t="s">
        <v>20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7"/>
      <c r="R43" s="7"/>
      <c r="S43" s="7"/>
    </row>
    <row r="44" spans="1:19" ht="13.65" customHeight="1" x14ac:dyDescent="0.3">
      <c r="A44" s="2" t="s">
        <v>21</v>
      </c>
      <c r="B44" s="2" t="s">
        <v>78</v>
      </c>
      <c r="C44" s="2" t="s">
        <v>15</v>
      </c>
      <c r="D44" s="2">
        <v>10</v>
      </c>
      <c r="E44" s="2" t="s">
        <v>122</v>
      </c>
      <c r="F44" s="2" t="s">
        <v>13</v>
      </c>
      <c r="G44" s="2">
        <v>6</v>
      </c>
      <c r="H44" s="2" t="s">
        <v>126</v>
      </c>
      <c r="I44" s="2" t="s">
        <v>13</v>
      </c>
      <c r="J44" s="2">
        <v>27</v>
      </c>
      <c r="K44" s="2" t="s">
        <v>75</v>
      </c>
      <c r="L44" s="2" t="s">
        <v>15</v>
      </c>
      <c r="M44" s="2">
        <v>29</v>
      </c>
      <c r="N44" s="2" t="s">
        <v>76</v>
      </c>
      <c r="O44" s="2" t="s">
        <v>24</v>
      </c>
      <c r="P44" s="2">
        <v>15</v>
      </c>
      <c r="Q44" s="7"/>
      <c r="R44" s="7"/>
      <c r="S44" s="7"/>
    </row>
    <row r="45" spans="1:19" ht="13.65" customHeight="1" x14ac:dyDescent="0.3">
      <c r="A45" s="2" t="s">
        <v>21</v>
      </c>
      <c r="B45" s="2"/>
      <c r="C45" s="2"/>
      <c r="D45" s="2"/>
      <c r="E45" s="2"/>
      <c r="F45" s="2"/>
      <c r="G45" s="2"/>
      <c r="H45" s="2" t="s">
        <v>127</v>
      </c>
      <c r="I45" s="2" t="s">
        <v>13</v>
      </c>
      <c r="J45" s="2">
        <v>15</v>
      </c>
      <c r="K45" s="2" t="s">
        <v>130</v>
      </c>
      <c r="L45" s="2" t="s">
        <v>13</v>
      </c>
      <c r="M45" s="2">
        <v>10</v>
      </c>
      <c r="N45" s="2" t="s">
        <v>139</v>
      </c>
      <c r="O45" s="2" t="s">
        <v>13</v>
      </c>
      <c r="P45" s="2">
        <v>4</v>
      </c>
      <c r="Q45" s="7"/>
      <c r="R45" s="7"/>
      <c r="S45" s="7"/>
    </row>
    <row r="46" spans="1:19" ht="13.65" customHeight="1" x14ac:dyDescent="0.3">
      <c r="A46" s="2" t="s">
        <v>21</v>
      </c>
      <c r="B46" s="2"/>
      <c r="C46" s="2"/>
      <c r="D46" s="2"/>
      <c r="E46" s="2"/>
      <c r="F46" s="2"/>
      <c r="G46" s="2"/>
      <c r="H46" s="2" t="s">
        <v>128</v>
      </c>
      <c r="I46" s="2" t="s">
        <v>13</v>
      </c>
      <c r="J46" s="2">
        <v>10</v>
      </c>
      <c r="K46" s="2" t="s">
        <v>131</v>
      </c>
      <c r="L46" s="2" t="s">
        <v>13</v>
      </c>
      <c r="M46" s="2">
        <v>1</v>
      </c>
      <c r="N46" s="2"/>
      <c r="O46" s="2"/>
      <c r="P46" s="2"/>
      <c r="Q46" s="7"/>
      <c r="R46" s="7"/>
      <c r="S46" s="7"/>
    </row>
    <row r="47" spans="1:19" ht="13.65" customHeight="1" x14ac:dyDescent="0.3">
      <c r="A47" s="2" t="s">
        <v>21</v>
      </c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7"/>
      <c r="R47" s="7"/>
      <c r="S47" s="7"/>
    </row>
    <row r="48" spans="1:19" ht="13.65" customHeight="1" x14ac:dyDescent="0.3">
      <c r="A48" s="2" t="s">
        <v>40</v>
      </c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7"/>
      <c r="R48" s="7"/>
      <c r="S48" s="7"/>
    </row>
    <row r="49" spans="1:19" ht="13.65" customHeight="1" x14ac:dyDescent="0.3">
      <c r="A49" s="2" t="s">
        <v>22</v>
      </c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7"/>
      <c r="R49" s="7"/>
      <c r="S49" s="7"/>
    </row>
    <row r="50" spans="1:19" ht="13.65" customHeight="1" x14ac:dyDescent="0.3">
      <c r="A50" s="2" t="s">
        <v>85</v>
      </c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7"/>
      <c r="R50" s="7"/>
      <c r="S50" s="7"/>
    </row>
    <row r="51" spans="1:19" ht="13.65" customHeight="1" x14ac:dyDescent="0.3">
      <c r="A51" s="2" t="s">
        <v>23</v>
      </c>
      <c r="B51" s="2" t="s">
        <v>59</v>
      </c>
      <c r="C51" s="2" t="s">
        <v>15</v>
      </c>
      <c r="D51" s="2">
        <v>15</v>
      </c>
      <c r="E51" s="2"/>
      <c r="F51" s="2"/>
      <c r="G51" s="2"/>
      <c r="H51" s="2" t="s">
        <v>80</v>
      </c>
      <c r="I51" s="2" t="s">
        <v>15</v>
      </c>
      <c r="J51" s="2">
        <v>15</v>
      </c>
      <c r="K51" s="2" t="s">
        <v>132</v>
      </c>
      <c r="L51" s="2" t="s">
        <v>13</v>
      </c>
      <c r="M51" s="2">
        <v>27</v>
      </c>
      <c r="N51" s="2" t="s">
        <v>44</v>
      </c>
      <c r="O51" s="2" t="s">
        <v>15</v>
      </c>
      <c r="P51" s="2">
        <v>7</v>
      </c>
      <c r="Q51" s="7"/>
      <c r="R51" s="7"/>
      <c r="S51" s="7"/>
    </row>
    <row r="52" spans="1:19" ht="13.65" customHeight="1" x14ac:dyDescent="0.3">
      <c r="A52" s="2" t="s">
        <v>23</v>
      </c>
      <c r="B52" s="2" t="s">
        <v>119</v>
      </c>
      <c r="C52" s="2" t="s">
        <v>13</v>
      </c>
      <c r="D52" s="2">
        <v>10</v>
      </c>
      <c r="E52" s="2"/>
      <c r="F52" s="2"/>
      <c r="G52" s="2"/>
      <c r="H52" s="2" t="s">
        <v>84</v>
      </c>
      <c r="I52" s="2" t="s">
        <v>15</v>
      </c>
      <c r="J52" s="2">
        <v>5</v>
      </c>
      <c r="K52" s="2" t="s">
        <v>62</v>
      </c>
      <c r="L52" s="2" t="s">
        <v>24</v>
      </c>
      <c r="M52" s="2">
        <v>15</v>
      </c>
      <c r="N52" s="2"/>
      <c r="O52" s="2"/>
      <c r="P52" s="2"/>
      <c r="Q52" s="7"/>
      <c r="R52" s="7"/>
      <c r="S52" s="7"/>
    </row>
    <row r="53" spans="1:19" ht="13.65" customHeight="1" x14ac:dyDescent="0.3">
      <c r="A53" s="2" t="s">
        <v>23</v>
      </c>
      <c r="B53" s="2" t="s">
        <v>120</v>
      </c>
      <c r="C53" s="2" t="s">
        <v>13</v>
      </c>
      <c r="D53" s="2">
        <v>4</v>
      </c>
      <c r="E53" s="2"/>
      <c r="F53" s="2"/>
      <c r="G53" s="2"/>
      <c r="H53" s="2"/>
      <c r="I53" s="2"/>
      <c r="J53" s="2"/>
      <c r="K53" s="2" t="s">
        <v>83</v>
      </c>
      <c r="L53" s="2" t="s">
        <v>24</v>
      </c>
      <c r="M53" s="2">
        <v>6</v>
      </c>
      <c r="N53" s="2"/>
      <c r="O53" s="2"/>
      <c r="P53" s="2"/>
      <c r="Q53" s="7"/>
      <c r="R53" s="7"/>
      <c r="S53" s="7"/>
    </row>
    <row r="54" spans="1:19" ht="13.65" customHeight="1" x14ac:dyDescent="0.3">
      <c r="A54" s="2" t="s">
        <v>23</v>
      </c>
      <c r="B54" s="2" t="s">
        <v>121</v>
      </c>
      <c r="C54" s="2" t="s">
        <v>13</v>
      </c>
      <c r="D54" s="2">
        <v>2</v>
      </c>
      <c r="E54" s="2"/>
      <c r="F54" s="2"/>
      <c r="G54" s="2"/>
      <c r="H54" s="2"/>
      <c r="I54" s="2"/>
      <c r="J54" s="2"/>
      <c r="K54" s="2" t="s">
        <v>67</v>
      </c>
      <c r="L54" s="2" t="s">
        <v>15</v>
      </c>
      <c r="M54" s="2">
        <v>2</v>
      </c>
      <c r="N54" s="2"/>
      <c r="O54" s="2"/>
      <c r="P54" s="2"/>
      <c r="Q54" s="7"/>
      <c r="R54" s="7"/>
      <c r="S54" s="7"/>
    </row>
    <row r="55" spans="1:19" ht="13.65" customHeight="1" x14ac:dyDescent="0.3">
      <c r="A55" s="2" t="s">
        <v>23</v>
      </c>
      <c r="B55" s="2"/>
      <c r="C55" s="2"/>
      <c r="D55" s="2"/>
      <c r="E55" s="2"/>
      <c r="F55" s="2"/>
      <c r="G55" s="2"/>
      <c r="H55" s="2"/>
      <c r="I55" s="2"/>
      <c r="J55" s="2"/>
      <c r="K55" s="2" t="s">
        <v>133</v>
      </c>
      <c r="L55" s="2" t="s">
        <v>13</v>
      </c>
      <c r="M55" s="2">
        <v>1</v>
      </c>
      <c r="N55" s="2"/>
      <c r="O55" s="2"/>
      <c r="P55" s="2"/>
      <c r="Q55" s="7"/>
      <c r="R55" s="7"/>
      <c r="S55" s="7"/>
    </row>
    <row r="56" spans="1:19" ht="13.65" customHeight="1" x14ac:dyDescent="0.3">
      <c r="A56" s="2" t="s">
        <v>23</v>
      </c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7"/>
      <c r="R56" s="7"/>
      <c r="S56" s="7"/>
    </row>
    <row r="57" spans="1:19" ht="13.65" customHeight="1" x14ac:dyDescent="0.3">
      <c r="A57" s="2" t="s">
        <v>23</v>
      </c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7"/>
      <c r="R57" s="7"/>
      <c r="S57" s="7"/>
    </row>
    <row r="58" spans="1:19" ht="13.65" customHeight="1" x14ac:dyDescent="0.3">
      <c r="A58" s="2" t="s">
        <v>23</v>
      </c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7"/>
      <c r="R58" s="7"/>
      <c r="S58" s="7"/>
    </row>
    <row r="59" spans="1:19" ht="13.65" customHeight="1" x14ac:dyDescent="0.3">
      <c r="A59" s="2" t="s">
        <v>23</v>
      </c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7"/>
      <c r="R59" s="7"/>
      <c r="S59" s="7"/>
    </row>
    <row r="60" spans="1:19" ht="13.65" customHeight="1" x14ac:dyDescent="0.3">
      <c r="A60" s="2" t="s">
        <v>23</v>
      </c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7"/>
      <c r="R60" s="7"/>
      <c r="S60" s="7"/>
    </row>
    <row r="61" spans="1:19" ht="13.65" customHeight="1" x14ac:dyDescent="0.3">
      <c r="A61" s="2" t="s">
        <v>23</v>
      </c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7"/>
      <c r="R61" s="7"/>
      <c r="S61" s="7"/>
    </row>
    <row r="62" spans="1:19" ht="13.65" customHeight="1" x14ac:dyDescent="0.3">
      <c r="A62" s="2" t="s">
        <v>23</v>
      </c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7"/>
      <c r="R62" s="7"/>
      <c r="S62" s="7"/>
    </row>
    <row r="63" spans="1:19" ht="13.65" customHeight="1" x14ac:dyDescent="0.3">
      <c r="A63" s="2" t="s">
        <v>23</v>
      </c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7"/>
      <c r="R63" s="7"/>
      <c r="S63" s="7"/>
    </row>
    <row r="64" spans="1:19" ht="13.65" customHeight="1" x14ac:dyDescent="0.3">
      <c r="A64" s="2"/>
      <c r="B64" s="5" t="s">
        <v>25</v>
      </c>
      <c r="C64" s="8">
        <f>300-SUM(D37:D63)</f>
        <v>189</v>
      </c>
      <c r="D64" s="8"/>
      <c r="E64" s="5" t="s">
        <v>25</v>
      </c>
      <c r="F64" s="8">
        <f>300-SUM(G37:G63)</f>
        <v>293</v>
      </c>
      <c r="G64" s="8"/>
      <c r="H64" s="5" t="s">
        <v>25</v>
      </c>
      <c r="I64" s="8">
        <f>300-SUM(J37:J63)</f>
        <v>151</v>
      </c>
      <c r="J64" s="8"/>
      <c r="K64" s="5" t="s">
        <v>25</v>
      </c>
      <c r="L64" s="8">
        <f>300-SUM(M37:M63)</f>
        <v>161</v>
      </c>
      <c r="M64" s="8"/>
      <c r="N64" s="5" t="s">
        <v>25</v>
      </c>
      <c r="O64" s="8">
        <f>300-SUM(P37:P63)</f>
        <v>190</v>
      </c>
      <c r="P64" s="8"/>
      <c r="Q64" s="6"/>
      <c r="R64" s="9"/>
      <c r="S64" s="9"/>
    </row>
    <row r="65" spans="1:19" ht="13.65" customHeight="1" x14ac:dyDescent="0.3">
      <c r="A65" s="2"/>
      <c r="B65" s="5" t="s">
        <v>26</v>
      </c>
      <c r="C65" s="8">
        <f>27-COUNT(D37:D63)</f>
        <v>17</v>
      </c>
      <c r="D65" s="8"/>
      <c r="E65" s="5" t="s">
        <v>26</v>
      </c>
      <c r="F65" s="8">
        <f>27-COUNT(G37:G63)</f>
        <v>25</v>
      </c>
      <c r="G65" s="8"/>
      <c r="H65" s="5" t="s">
        <v>26</v>
      </c>
      <c r="I65" s="8">
        <f>27-COUNT(J37:J63)</f>
        <v>17</v>
      </c>
      <c r="J65" s="8"/>
      <c r="K65" s="5" t="s">
        <v>26</v>
      </c>
      <c r="L65" s="8">
        <f>27-COUNT(M37:M63)</f>
        <v>18</v>
      </c>
      <c r="M65" s="8"/>
      <c r="N65" s="5" t="s">
        <v>26</v>
      </c>
      <c r="O65" s="8">
        <f>27-COUNT(P37:P63)</f>
        <v>18</v>
      </c>
      <c r="P65" s="8"/>
      <c r="Q65" s="6"/>
      <c r="R65" s="9"/>
      <c r="S65" s="9"/>
    </row>
    <row r="66" spans="1:19" ht="13.65" customHeight="1" x14ac:dyDescent="0.3">
      <c r="A66" s="2"/>
      <c r="B66" s="5" t="s">
        <v>27</v>
      </c>
      <c r="C66" s="8">
        <f>C64-C65+1</f>
        <v>173</v>
      </c>
      <c r="D66" s="8"/>
      <c r="E66" s="5" t="s">
        <v>27</v>
      </c>
      <c r="F66" s="8">
        <f>F64-F65+1</f>
        <v>269</v>
      </c>
      <c r="G66" s="8"/>
      <c r="H66" s="5" t="s">
        <v>27</v>
      </c>
      <c r="I66" s="8">
        <f>I64-I65+1</f>
        <v>135</v>
      </c>
      <c r="J66" s="8"/>
      <c r="K66" s="5" t="s">
        <v>27</v>
      </c>
      <c r="L66" s="8">
        <f>L64-L65+1</f>
        <v>144</v>
      </c>
      <c r="M66" s="8"/>
      <c r="N66" s="5" t="s">
        <v>27</v>
      </c>
      <c r="O66" s="8">
        <f>O64-O65+1</f>
        <v>173</v>
      </c>
      <c r="P66" s="8"/>
      <c r="Q66" s="6"/>
      <c r="R66" s="9"/>
      <c r="S66" s="9"/>
    </row>
  </sheetData>
  <mergeCells count="60">
    <mergeCell ref="R66:S66"/>
    <mergeCell ref="C65:D65"/>
    <mergeCell ref="F65:G65"/>
    <mergeCell ref="I65:J65"/>
    <mergeCell ref="L65:M65"/>
    <mergeCell ref="O65:P65"/>
    <mergeCell ref="R65:S65"/>
    <mergeCell ref="C66:D66"/>
    <mergeCell ref="F66:G66"/>
    <mergeCell ref="I66:J66"/>
    <mergeCell ref="L66:M66"/>
    <mergeCell ref="O66:P66"/>
    <mergeCell ref="R64:S64"/>
    <mergeCell ref="B35:D35"/>
    <mergeCell ref="E35:G35"/>
    <mergeCell ref="H35:J35"/>
    <mergeCell ref="K35:M35"/>
    <mergeCell ref="N35:P35"/>
    <mergeCell ref="Q35:S35"/>
    <mergeCell ref="C64:D64"/>
    <mergeCell ref="F64:G64"/>
    <mergeCell ref="I64:J64"/>
    <mergeCell ref="L64:M64"/>
    <mergeCell ref="O64:P64"/>
    <mergeCell ref="Q34:S34"/>
    <mergeCell ref="B34:D34"/>
    <mergeCell ref="E34:G34"/>
    <mergeCell ref="H34:J34"/>
    <mergeCell ref="K34:M34"/>
    <mergeCell ref="N34:P34"/>
    <mergeCell ref="R33:S33"/>
    <mergeCell ref="C32:D32"/>
    <mergeCell ref="F32:G32"/>
    <mergeCell ref="I32:J32"/>
    <mergeCell ref="L32:M32"/>
    <mergeCell ref="O32:P32"/>
    <mergeCell ref="R32:S32"/>
    <mergeCell ref="C33:D33"/>
    <mergeCell ref="F33:G33"/>
    <mergeCell ref="I33:J33"/>
    <mergeCell ref="L33:M33"/>
    <mergeCell ref="O33:P33"/>
    <mergeCell ref="R31:S31"/>
    <mergeCell ref="B2:D2"/>
    <mergeCell ref="E2:G2"/>
    <mergeCell ref="H2:J2"/>
    <mergeCell ref="K2:M2"/>
    <mergeCell ref="N2:P2"/>
    <mergeCell ref="Q2:S2"/>
    <mergeCell ref="C31:D31"/>
    <mergeCell ref="F31:G31"/>
    <mergeCell ref="I31:J31"/>
    <mergeCell ref="L31:M31"/>
    <mergeCell ref="O31:P31"/>
    <mergeCell ref="Q1:S1"/>
    <mergeCell ref="B1:D1"/>
    <mergeCell ref="E1:G1"/>
    <mergeCell ref="H1:J1"/>
    <mergeCell ref="K1:M1"/>
    <mergeCell ref="N1:P1"/>
  </mergeCells>
  <conditionalFormatting sqref="Q8">
    <cfRule type="expression" dxfId="0" priority="1">
      <formula>AV8="Taken"</formula>
    </cfRule>
  </conditionalFormatting>
  <printOptions horizontalCentered="1" verticalCentered="1"/>
  <pageMargins left="0.45" right="0.45" top="0.1" bottom="0.1" header="0" footer="0"/>
  <pageSetup scale="65" orientation="landscape" draft="1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Sean Cannon</cp:lastModifiedBy>
  <cp:lastPrinted>2024-03-27T16:30:19Z</cp:lastPrinted>
  <dcterms:created xsi:type="dcterms:W3CDTF">2013-03-20T02:26:25Z</dcterms:created>
  <dcterms:modified xsi:type="dcterms:W3CDTF">2024-03-29T03:55:37Z</dcterms:modified>
</cp:coreProperties>
</file>